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Master Risk Register" sheetId="1" r:id="rId1"/>
    <sheet name="Inherent Risk Calculator" sheetId="2" r:id="rId2"/>
    <sheet name="Executive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<sst xmlns="http://schemas.openxmlformats.org/spreadsheetml/2006/main" count="46" uniqueCount="39">
  <si>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Vendor Name</t>
  </si>
  <si>
    <t>Service Category</t>
  </si>
  <si>
    <t>Inherent Risk Score</t>
  </si>
  <si>
    <t>Control Score</t>
  </si>
  <si>
    <t>Residual Risk Score</t>
  </si>
  <si>
    <t>Risk Rating</t>
  </si>
  <si>
    <t>Treatment Plan</t>
  </si>
  <si>
    <t>Review Deadline</t>
  </si>
  <si>
    <t>Control Status</t>
  </si>
  <si>
    <t>Certification Type</t>
  </si>
  <si>
    <t>Evidence Link</t>
  </si>
  <si>
    <t>Audit Ready</t>
  </si>
  <si>
    <t>Example Vendor</t>
  </si>
  <si>
    <t>Cloud</t>
  </si>
  <si>
    <t>Mitigate</t>
  </si>
  <si>
    <t>Open</t>
  </si>
  <si>
    <t>SOC 2</t>
  </si>
  <si>
    <t>https://drive.google.com/</t>
  </si>
  <si>
    <t>Factor</t>
  </si>
  <si>
    <t>Scoring Logic</t>
  </si>
  <si>
    <t>Score (1-5)</t>
  </si>
  <si>
    <t>Data Sensitivity</t>
  </si>
  <si>
    <t>1 (Public) to 5 (Regulated/PII)</t>
  </si>
  <si>
    <t/>
  </si>
  <si>
    <t>Network Access</t>
  </si>
  <si>
    <t>1 (None) to 5 (Full Admin)</t>
  </si>
  <si>
    <t>Criticality</t>
  </si>
  <si>
    <t>1 (Low) to 5 (Business Shutdown)</t>
  </si>
  <si>
    <t>TOTAL SCORE</t>
  </si>
  <si>
    <t>Sum of Factors</t>
  </si>
  <si>
    <t>Vendor Count</t>
  </si>
  <si>
    <t>HIGH</t>
  </si>
  <si>
    <t>MEDIUM</t>
  </si>
  <si>
    <t>LOW</t>
  </si>
  <si>
    <t>Count</t>
  </si>
  <si>
    <t>Closed</t>
  </si>
  <si>
    <t>Audit Status</t>
  </si>
  <si>
    <t>Not Ready</t>
  </si>
  <si>
    <t>Audit Readiness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</si>
</sst>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RiskRegister" displayName="MasterRiskRegister" ref="A1:L2">
  <autoFilter xmlns:etc="http://www.wps.cn/officeDocument/2017/etCustomData" ref="A1:L2" etc:filterBottomFollowUsedRange="0"/>
  <tableColumns count="12">
    <tableColumn id="1" name="Vendor Name"/>
    <tableColumn id="2" name="Service Category"/>
    <tableColumn id="3" name="Inherent Risk Score"/>
    <tableColumn id="4" name="Control Score"/>
    <tableColumn id="5" name="Residual Risk Score"/>
    <tableColumn id="6" name="Risk Rating"/>
    <tableColumn id="7" name="Treatment Plan"/>
    <tableColumn id="8" name="Review Deadline"/>
    <tableColumn id="9" name="Control Status"/>
    <tableColumn id="10" name="Certification Type"/>
    <tableColumn id="11" name="Evidence Link"/>
    <tableColumn id="12" name="Audit Read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ySplit="1" topLeftCell="A2" activePane="bottomLeft" state="frozen"/>
      <selection/>
      <selection pane="bottomLeft" activeCell="M11" sqref="M11"/>
    </sheetView>
  </sheetViews>
  <sheetFormatPr defaultColWidth="9" defaultRowHeight="14.5" outlineLevelRow="1"/>
  <cols>
    <col min="1" max="1" width="20.6363636363636" customWidth="1"/>
    <col min="2" max="2" width="17.7272727272727" customWidth="1"/>
    <col min="3" max="3" width="21.2727272727273" customWidth="1"/>
    <col min="4" max="4" width="15.7272727272727" customWidth="1"/>
    <col min="5" max="5" width="20.8181818181818" customWidth="1"/>
    <col min="6" max="6" width="18.1818181818182" customWidth="1"/>
    <col min="7" max="7" width="17.0909090909091" customWidth="1"/>
    <col min="8" max="8" width="19" customWidth="1"/>
    <col min="9" max="9" width="15.7272727272727" customWidth="1"/>
    <col min="10" max="10" width="20.1818181818182" customWidth="1"/>
    <col min="11" max="11" width="24.7272727272727" customWidth="1"/>
    <col min="12" max="12" width="17.81818181818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20</v>
      </c>
      <c r="D2">
        <v>4</v>
      </c>
      <c r="E2">
        <f>C2-D2</f>
        <v>16</v>
      </c>
      <c r="F2" t="str">
        <f>_xlfn.IFS(E2&gt;=16,"HIGH",E2&gt;=11,"MEDIUM",E2&lt;=10,"LOW")</f>
        <v>HIGH</v>
      </c>
      <c r="G2" t="s">
        <v>14</v>
      </c>
      <c r="H2">
        <f ca="1">IF(F2="HIGH",TODAY()+365,IF(F2="MEDIUM",TODAY()+540,"N/A"))</f>
        <v>46428</v>
      </c>
      <c r="I2" t="s">
        <v>15</v>
      </c>
      <c r="J2" t="s">
        <v>16</v>
      </c>
      <c r="K2" t="s">
        <v>17</v>
      </c>
      <c r="L2" t="str">
        <f>IF(OR(J2="SOC 2",J2="ISO 27001"),"YES","NO")</f>
        <v>YES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5" outlineLevelRow="4" outlineLevelCol="2"/>
  <cols>
    <col min="1" max="1" width="19.9090909090909" customWidth="1"/>
    <col min="2" max="2" width="33.2727272727273" customWidth="1"/>
    <col min="3" max="3" width="15.3636363636364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23</v>
      </c>
    </row>
    <row r="4" spans="1:3">
      <c r="A4" t="s">
        <v>26</v>
      </c>
      <c r="B4" t="s">
        <v>27</v>
      </c>
      <c r="C4" t="s">
        <v>23</v>
      </c>
    </row>
    <row r="5" spans="1:3">
      <c r="A5" t="s">
        <v>28</v>
      </c>
      <c r="B5" t="s">
        <v>29</v>
      </c>
      <c r="C5">
        <f>SUM(C2:C4)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"/>
    </sheetView>
  </sheetViews>
  <sheetFormatPr defaultColWidth="9" defaultRowHeight="14.5" outlineLevelCol="1"/>
  <cols>
    <col min="1" max="1" width="25.0909090909091" customWidth="1"/>
    <col min="2" max="2" width="21" customWidth="1"/>
  </cols>
  <sheetData>
    <row r="1" spans="1:2">
      <c r="A1" s="1" t="s">
        <v>5</v>
      </c>
      <c r="B1" s="1" t="s">
        <v>30</v>
      </c>
    </row>
    <row r="2" spans="1:2">
      <c r="A2" t="s">
        <v>31</v>
      </c>
      <c r="B2">
        <f>COUNTIF('Master Risk Register'!F:F,"HIGH")</f>
        <v>1</v>
      </c>
    </row>
    <row r="3" spans="1:2">
      <c r="A3" t="s">
        <v>32</v>
      </c>
      <c r="B3">
        <f>COUNTIF('Master Risk Register'!F:F,"MEDIUM")</f>
        <v>0</v>
      </c>
    </row>
    <row r="4" spans="1:2">
      <c r="A4" t="s">
        <v>33</v>
      </c>
      <c r="B4">
        <f>COUNTIF('Master Risk Register'!F:F,"LOW")</f>
        <v>0</v>
      </c>
    </row>
    <row r="6" spans="1:2">
      <c r="A6" t="s">
        <v>8</v>
      </c>
      <c r="B6" t="s">
        <v>34</v>
      </c>
    </row>
    <row r="7" spans="1:2">
      <c r="A7" t="s">
        <v>15</v>
      </c>
      <c r="B7">
        <f>COUNTIF('Master Risk Register'!I:I,"Open")</f>
        <v>1</v>
      </c>
    </row>
    <row r="8" spans="1:2">
      <c r="A8" t="s">
        <v>35</v>
      </c>
      <c r="B8">
        <f>COUNTIF('Master Risk Register'!I:I,"Closed")</f>
        <v>0</v>
      </c>
    </row>
    <row r="10" spans="1:2">
      <c r="A10" t="s">
        <v>36</v>
      </c>
      <c r="B10" t="s">
        <v>34</v>
      </c>
    </row>
    <row r="11" spans="1:2">
      <c r="A11" t="s">
        <v>11</v>
      </c>
      <c r="B11">
        <f>COUNTIF('Master Risk Register'!L:L,"YES")</f>
        <v>1</v>
      </c>
    </row>
    <row r="12" spans="1:2">
      <c r="A12" t="s">
        <v>37</v>
      </c>
      <c r="B12">
        <f>COUNTIF('Master Risk Register'!L:L,"NO")</f>
        <v>0</v>
      </c>
    </row>
    <row r="13" spans="1:2">
      <c r="A13" t="s">
        <v>38</v>
      </c>
      <c r="B13">
        <f ca="1">B12/(B12+B13)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Risk Register</vt:lpstr>
      <vt:lpstr>Inherent Risk Calculator</vt:lpstr>
      <vt:lpstr>Executive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 e zon</cp:lastModifiedBy>
  <dcterms:created xsi:type="dcterms:W3CDTF">2026-02-06T15:16:00Z</dcterms:created>
  <dcterms:modified xsi:type="dcterms:W3CDTF">2026-02-10T15:07:28Z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DF70DFFB0CAD46D0B1E15532D5AF0701_12</vt:lpwstr>
  </property>
  <property fmtid="{D5CDD505-2E9C-101B-9397-08002B2CF9AE}" pid="3" name="KSOProductBuildVer">
    <vt:lpwstr>1033-12.2.0.23196</vt:lpwstr>
  </property>
</Properties>
</file>